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Economics" sheetId="2" state="visible" r:id="rId2"/>
    <sheet xmlns:r="http://schemas.openxmlformats.org/officeDocument/2006/relationships" name="Experiment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₸&quot;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277A"/>
      </patternFill>
    </fill>
  </fills>
  <borders count="2">
    <border>
      <left/>
      <right/>
      <top/>
      <bottom/>
      <diagonal/>
    </border>
    <border>
      <bottom style="thin">
        <color rgb="00D9DC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4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Комментарий</t>
        </is>
      </c>
    </row>
    <row r="2">
      <c r="A2" s="2" t="inlineStr">
        <is>
          <t>Клиентская база</t>
        </is>
      </c>
      <c r="B2" s="2" t="n">
        <v>250000</v>
      </c>
      <c r="C2" s="2" t="inlineStr">
        <is>
          <t>Рабочий масштаб модели</t>
        </is>
      </c>
    </row>
    <row r="3">
      <c r="A3" s="2" t="inlineStr">
        <is>
          <t>Доля claim-related взаимодействий в год</t>
        </is>
      </c>
      <c r="B3" s="3" t="n">
        <v>0.03</v>
      </c>
      <c r="C3" s="2" t="inlineStr">
        <is>
          <t>Допущение</t>
        </is>
      </c>
    </row>
    <row r="4">
      <c r="A4" s="2" t="inlineStr">
        <is>
          <t>Доля с повторным вопросом</t>
        </is>
      </c>
      <c r="B4" s="3" t="n">
        <v>0.65</v>
      </c>
      <c r="C4" s="2" t="inlineStr">
        <is>
          <t>Допущение</t>
        </is>
      </c>
    </row>
    <row r="5">
      <c r="A5" s="2" t="inlineStr">
        <is>
          <t>Повторных контактов на случай</t>
        </is>
      </c>
      <c r="B5" s="2" t="n">
        <v>2.2</v>
      </c>
      <c r="C5" s="2" t="inlineStr">
        <is>
          <t>Допущение</t>
        </is>
      </c>
    </row>
    <row r="6">
      <c r="A6" s="2" t="inlineStr">
        <is>
          <t>Минут на контакт</t>
        </is>
      </c>
      <c r="B6" s="2" t="n">
        <v>12</v>
      </c>
      <c r="C6" s="2" t="inlineStr">
        <is>
          <t>Допущение</t>
        </is>
      </c>
    </row>
    <row r="7">
      <c r="A7" s="2" t="inlineStr">
        <is>
          <t>Стоимость часа сотрудника, ₸</t>
        </is>
      </c>
      <c r="B7" s="2" t="n">
        <v>3500</v>
      </c>
      <c r="C7" s="2" t="inlineStr">
        <is>
          <t>Допущение</t>
        </is>
      </c>
    </row>
    <row r="8">
      <c r="A8" s="2" t="inlineStr">
        <is>
          <t>Эскалаций/жалоб в месяц</t>
        </is>
      </c>
      <c r="B8" s="2" t="n">
        <v>25</v>
      </c>
      <c r="C8" s="2" t="inlineStr">
        <is>
          <t>Допущение</t>
        </is>
      </c>
    </row>
    <row r="9">
      <c r="A9" s="2" t="inlineStr">
        <is>
          <t>Стоимость одной эскалации, ₸</t>
        </is>
      </c>
      <c r="B9" s="2" t="n">
        <v>15000</v>
      </c>
      <c r="C9" s="2" t="inlineStr">
        <is>
          <t>Допущение</t>
        </is>
      </c>
    </row>
    <row r="10">
      <c r="A10" s="2" t="inlineStr">
        <is>
          <t>Потерянных продлений в месяц</t>
        </is>
      </c>
      <c r="B10" s="2" t="n">
        <v>30</v>
      </c>
      <c r="C10" s="2" t="inlineStr">
        <is>
          <t>Допущение</t>
        </is>
      </c>
    </row>
    <row r="11">
      <c r="A11" s="2" t="inlineStr">
        <is>
          <t>Маржа на продление, ₸</t>
        </is>
      </c>
      <c r="B11" s="2" t="n">
        <v>12000</v>
      </c>
      <c r="C11" s="2" t="inlineStr">
        <is>
          <t>Допущение</t>
        </is>
      </c>
    </row>
    <row r="12">
      <c r="A12" s="2" t="inlineStr">
        <is>
          <t>Стоимость MVP, ₸</t>
        </is>
      </c>
      <c r="B12" s="2" t="n">
        <v>760000</v>
      </c>
      <c r="C12" s="2" t="inlineStr">
        <is>
          <t>Оценка</t>
        </is>
      </c>
    </row>
    <row r="13">
      <c r="A13" s="2" t="inlineStr">
        <is>
          <t>Стоимость полной интеграции, ₸</t>
        </is>
      </c>
      <c r="B13" s="2" t="n">
        <v>12000000</v>
      </c>
      <c r="C13" s="2" t="inlineStr">
        <is>
          <t>Оценка</t>
        </is>
      </c>
    </row>
    <row r="14">
      <c r="A14" s="2" t="inlineStr">
        <is>
          <t>Цель снижения повторных контактов</t>
        </is>
      </c>
      <c r="B14" s="3" t="n">
        <v>0.2</v>
      </c>
      <c r="C14" s="2" t="inlineStr">
        <is>
          <t>Гипотеза A/B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42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Формула / смысл</t>
        </is>
      </c>
    </row>
    <row r="2">
      <c r="A2" s="2" t="inlineStr">
        <is>
          <t>Случаев в месяц</t>
        </is>
      </c>
      <c r="B2" s="2">
        <f>Assumptions!B2*Assumptions!B3/12</f>
        <v/>
      </c>
      <c r="C2" s="2" t="inlineStr">
        <is>
          <t>База × годовая доля / 12</t>
        </is>
      </c>
    </row>
    <row r="3">
      <c r="A3" s="2" t="inlineStr">
        <is>
          <t>Повторных контактов в месяц</t>
        </is>
      </c>
      <c r="B3" s="2">
        <f>B2*Assumptions!B4*Assumptions!B5</f>
        <v/>
      </c>
      <c r="C3" s="2" t="inlineStr">
        <is>
          <t>Случаи × доля × контакты</t>
        </is>
      </c>
    </row>
    <row r="4">
      <c r="A4" s="2" t="inlineStr">
        <is>
          <t>Часов сотрудников</t>
        </is>
      </c>
      <c r="B4" s="2">
        <f>B3*Assumptions!B6/60</f>
        <v/>
      </c>
      <c r="C4" s="2" t="inlineStr">
        <is>
          <t>Контакты × минуты / 60</t>
        </is>
      </c>
    </row>
    <row r="5">
      <c r="A5" s="2" t="inlineStr">
        <is>
          <t>Стоимость повторных контактов, ₸</t>
        </is>
      </c>
      <c r="B5" s="4">
        <f>B4*Assumptions!B7</f>
        <v/>
      </c>
      <c r="C5" s="2" t="inlineStr">
        <is>
          <t>Часы × стоимость часа</t>
        </is>
      </c>
    </row>
    <row r="6">
      <c r="A6" s="2" t="inlineStr">
        <is>
          <t>Стоимость эскалаций, ₸</t>
        </is>
      </c>
      <c r="B6" s="4">
        <f>Assumptions!B8*Assumptions!B9</f>
        <v/>
      </c>
      <c r="C6" s="2" t="inlineStr">
        <is>
          <t>Количество × стоимость</t>
        </is>
      </c>
    </row>
    <row r="7">
      <c r="A7" s="2" t="inlineStr">
        <is>
          <t>Потеря маржи, ₸</t>
        </is>
      </c>
      <c r="B7" s="4">
        <f>Assumptions!B10*Assumptions!B11</f>
        <v/>
      </c>
      <c r="C7" s="2" t="inlineStr">
        <is>
          <t>Непродления × маржа</t>
        </is>
      </c>
    </row>
    <row r="8">
      <c r="A8" s="2" t="inlineStr">
        <is>
          <t>Зона возможности, ₸/мес</t>
        </is>
      </c>
      <c r="B8" s="4">
        <f>SUM(B5:B7)</f>
        <v/>
      </c>
      <c r="C8" s="2" t="inlineStr">
        <is>
          <t>Операции + эскалации + маржа</t>
        </is>
      </c>
    </row>
    <row r="9">
      <c r="A9" s="2" t="inlineStr">
        <is>
          <t>Экономия на повторных контактах при цели, ₸</t>
        </is>
      </c>
      <c r="B9" s="4">
        <f>B5*Assumptions!B14</f>
        <v/>
      </c>
      <c r="C9" s="2" t="inlineStr">
        <is>
          <t>Консервативно: только повторные контакты</t>
        </is>
      </c>
    </row>
    <row r="10">
      <c r="A10" s="2" t="inlineStr">
        <is>
          <t>Простой payback MVP, мес</t>
        </is>
      </c>
      <c r="B10" s="5">
        <f>Assumptions!B12/B9</f>
        <v/>
      </c>
      <c r="C10" s="2" t="inlineStr">
        <is>
          <t>MVP / консервативная экономия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6" customWidth="1" min="3" max="3"/>
  </cols>
  <sheetData>
    <row r="1">
      <c r="A1" s="1" t="inlineStr">
        <is>
          <t>Блок</t>
        </is>
      </c>
      <c r="B1" s="1" t="inlineStr">
        <is>
          <t>Показатель</t>
        </is>
      </c>
      <c r="C1" s="1" t="inlineStr">
        <is>
          <t>Критерий</t>
        </is>
      </c>
    </row>
    <row r="2">
      <c r="A2" s="2" t="inlineStr">
        <is>
          <t>Primary</t>
        </is>
      </c>
      <c r="B2" s="2" t="inlineStr">
        <is>
          <t>Повторные контакты на заявление за 14 дней</t>
        </is>
      </c>
      <c r="C2" s="2" t="inlineStr">
        <is>
          <t>−20% или лучше</t>
        </is>
      </c>
    </row>
    <row r="3">
      <c r="A3" s="2" t="inlineStr">
        <is>
          <t>Secondary</t>
        </is>
      </c>
      <c r="B3" s="2" t="inlineStr">
        <is>
          <t>Время до полного пакета</t>
        </is>
      </c>
      <c r="C3" s="2" t="inlineStr">
        <is>
          <t>−15% или лучше</t>
        </is>
      </c>
    </row>
    <row r="4">
      <c r="A4" s="2" t="inlineStr">
        <is>
          <t>Secondary</t>
        </is>
      </c>
      <c r="B4" s="2" t="inlineStr">
        <is>
          <t>Полный пакет за 3 дня</t>
        </is>
      </c>
      <c r="C4" s="2" t="inlineStr">
        <is>
          <t>Рост</t>
        </is>
      </c>
    </row>
    <row r="5">
      <c r="A5" s="2" t="inlineStr">
        <is>
          <t>Secondary</t>
        </is>
      </c>
      <c r="B5" s="2" t="inlineStr">
        <is>
          <t>CSAT</t>
        </is>
      </c>
      <c r="C5" s="2" t="inlineStr">
        <is>
          <t>Не снижается</t>
        </is>
      </c>
    </row>
    <row r="6">
      <c r="A6" s="2" t="inlineStr">
        <is>
          <t>Guardrail</t>
        </is>
      </c>
      <c r="B6" s="2" t="inlineStr">
        <is>
          <t>Неверный статус</t>
        </is>
      </c>
      <c r="C6" s="2" t="inlineStr">
        <is>
          <t>≤2%</t>
        </is>
      </c>
    </row>
    <row r="7">
      <c r="A7" s="2" t="inlineStr">
        <is>
          <t>Guardrail</t>
        </is>
      </c>
      <c r="B7" s="2" t="inlineStr">
        <is>
          <t>Жалобы</t>
        </is>
      </c>
      <c r="C7" s="2" t="inlineStr">
        <is>
          <t>Не выше контроля на 10%+</t>
        </is>
      </c>
    </row>
    <row r="8">
      <c r="A8" s="2" t="inlineStr">
        <is>
          <t>Guardrail</t>
        </is>
      </c>
      <c r="B8" s="2" t="inlineStr">
        <is>
          <t>Ручная нагрузка</t>
        </is>
      </c>
      <c r="C8" s="2" t="inlineStr">
        <is>
          <t>Не растёт заметно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48" customWidth="1" min="3" max="3"/>
  </cols>
  <sheetData>
    <row r="1">
      <c r="A1" s="1" t="inlineStr">
        <is>
          <t>Источник</t>
        </is>
      </c>
      <c r="B1" s="1" t="inlineStr">
        <is>
          <t>Что использовано</t>
        </is>
      </c>
      <c r="C1" s="1" t="inlineStr">
        <is>
          <t>URL</t>
        </is>
      </c>
    </row>
    <row r="2">
      <c r="A2" s="2" t="inlineStr">
        <is>
          <t>Sinoasia B&amp;R</t>
        </is>
      </c>
      <c r="B2" s="2" t="inlineStr">
        <is>
          <t>Официальный сайт и текущий цифровой контекст</t>
        </is>
      </c>
      <c r="C2" s="2" t="inlineStr">
        <is>
          <t>https://www.sinoasia.kz/</t>
        </is>
      </c>
    </row>
    <row r="3">
      <c r="A3" s="2" t="inlineStr">
        <is>
          <t>2GIS</t>
        </is>
      </c>
      <c r="B3" s="2" t="inlineStr">
        <is>
          <t>Публичные отзывы: обратная связь, процесс после ДТП, документы; также есть положительные отзывы</t>
        </is>
      </c>
      <c r="C3" s="2" t="inlineStr">
        <is>
          <t>https://2gis.kz/almaty/firm/70000001035253024/tab/reviews</t>
        </is>
      </c>
    </row>
    <row r="4">
      <c r="A4" s="2" t="inlineStr">
        <is>
          <t>Страховой омбудсман</t>
        </is>
      </c>
      <c r="B4" s="2" t="inlineStr">
        <is>
          <t>Контекст страховых споров и досудебной коммуникации</t>
        </is>
      </c>
      <c r="C4" s="2" t="inlineStr">
        <is>
          <t>https://www.fomb.kz/</t>
        </is>
      </c>
    </row>
    <row r="5">
      <c r="A5" s="2" t="inlineStr">
        <is>
          <t>Paul, 2021</t>
        </is>
      </c>
      <c r="B5" s="2" t="inlineStr">
        <is>
          <t>Задержки и слабая коммуникация в claims-процессах создают нагрузку для клиента</t>
        </is>
      </c>
      <c r="C5" s="2" t="inlineStr">
        <is>
          <t>https://doi.org/10.26180/14151785.v2</t>
        </is>
      </c>
    </row>
    <row r="6">
      <c r="A6" s="2" t="inlineStr">
        <is>
          <t>Elgargouh et al.</t>
        </is>
      </c>
      <c r="B6" s="2" t="inlineStr">
        <is>
          <t>Сложный claims-процесс связан с риском ухода клиента</t>
        </is>
      </c>
      <c r="C6" s="2" t="inlineStr">
        <is>
          <t>https://doi.org/10.1109/CIST49399.2021.9357231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2026-09-20T10:50:18Z</dcterms:created>
  <dcterms:modified xmlns:dcterms="http://purl.org/dc/terms/" xmlns:xsi="http://www.w3.org/2001/XMLSchema-instance" xsi:type="dcterms:W3CDTF">2026-09-20T10:50:18Z</dcterms:modified>
</cp:coreProperties>
</file>